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D439D63-548C-4E20-8F6A-7ECE11315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余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2" i="3" l="1"/>
  <c r="AI22" i="3" s="1"/>
  <c r="AE22" i="3"/>
  <c r="AB22" i="3"/>
  <c r="Y22" i="3"/>
  <c r="V22" i="3"/>
  <c r="W22" i="3" s="1"/>
  <c r="S22" i="3"/>
  <c r="X22" i="3" s="1"/>
  <c r="P22" i="3"/>
  <c r="M22" i="3"/>
  <c r="J22" i="3"/>
  <c r="K22" i="3" s="1"/>
  <c r="G22" i="3"/>
  <c r="L22" i="3" s="1"/>
  <c r="D22" i="3"/>
  <c r="AI21" i="3"/>
  <c r="AJ21" i="3" s="1"/>
  <c r="AG21" i="3"/>
  <c r="AF21" i="3"/>
  <c r="AD21" i="3"/>
  <c r="AC21" i="3"/>
  <c r="Z21" i="3"/>
  <c r="AA21" i="3" s="1"/>
  <c r="W21" i="3"/>
  <c r="X21" i="3" s="1"/>
  <c r="T21" i="3"/>
  <c r="U21" i="3" s="1"/>
  <c r="Q21" i="3"/>
  <c r="R21" i="3" s="1"/>
  <c r="O21" i="3"/>
  <c r="N21" i="3"/>
  <c r="L21" i="3"/>
  <c r="K21" i="3"/>
  <c r="H21" i="3"/>
  <c r="I21" i="3" s="1"/>
  <c r="AI20" i="3"/>
  <c r="AJ20" i="3" s="1"/>
  <c r="AF20" i="3"/>
  <c r="AG20" i="3" s="1"/>
  <c r="AC20" i="3"/>
  <c r="AD20" i="3" s="1"/>
  <c r="AA20" i="3"/>
  <c r="Z20" i="3"/>
  <c r="T20" i="3"/>
  <c r="U20" i="3" s="1"/>
  <c r="S20" i="3"/>
  <c r="W20" i="3" s="1"/>
  <c r="X20" i="3" s="1"/>
  <c r="Q20" i="3"/>
  <c r="R20" i="3" s="1"/>
  <c r="O20" i="3"/>
  <c r="N20" i="3"/>
  <c r="L20" i="3"/>
  <c r="K20" i="3"/>
  <c r="H20" i="3"/>
  <c r="I20" i="3" s="1"/>
  <c r="AJ19" i="3"/>
  <c r="AI19" i="3"/>
  <c r="AG19" i="3"/>
  <c r="AF19" i="3"/>
  <c r="AC19" i="3"/>
  <c r="AD19" i="3" s="1"/>
  <c r="AA19" i="3"/>
  <c r="Z19" i="3"/>
  <c r="X19" i="3"/>
  <c r="W19" i="3"/>
  <c r="T19" i="3"/>
  <c r="U19" i="3" s="1"/>
  <c r="R19" i="3"/>
  <c r="Q19" i="3"/>
  <c r="O19" i="3"/>
  <c r="N19" i="3"/>
  <c r="K19" i="3"/>
  <c r="L19" i="3" s="1"/>
  <c r="I19" i="3"/>
  <c r="H19" i="3"/>
  <c r="AJ18" i="3"/>
  <c r="AI18" i="3"/>
  <c r="AF18" i="3"/>
  <c r="AG18" i="3" s="1"/>
  <c r="AD18" i="3"/>
  <c r="AC18" i="3"/>
  <c r="AA18" i="3"/>
  <c r="Z18" i="3"/>
  <c r="W18" i="3"/>
  <c r="X18" i="3" s="1"/>
  <c r="U18" i="3"/>
  <c r="T18" i="3"/>
  <c r="R18" i="3"/>
  <c r="Q18" i="3"/>
  <c r="N18" i="3"/>
  <c r="O18" i="3" s="1"/>
  <c r="L18" i="3"/>
  <c r="K18" i="3"/>
  <c r="I18" i="3"/>
  <c r="H18" i="3"/>
  <c r="AI17" i="3"/>
  <c r="AJ17" i="3" s="1"/>
  <c r="AG17" i="3"/>
  <c r="AF17" i="3"/>
  <c r="AD17" i="3"/>
  <c r="AC17" i="3"/>
  <c r="Z17" i="3"/>
  <c r="AA17" i="3" s="1"/>
  <c r="X17" i="3"/>
  <c r="W17" i="3"/>
  <c r="U17" i="3"/>
  <c r="T17" i="3"/>
  <c r="Q17" i="3"/>
  <c r="R17" i="3" s="1"/>
  <c r="O17" i="3"/>
  <c r="N17" i="3"/>
  <c r="L17" i="3"/>
  <c r="K17" i="3"/>
  <c r="H17" i="3"/>
  <c r="I17" i="3" s="1"/>
  <c r="AJ16" i="3"/>
  <c r="AI16" i="3"/>
  <c r="AG16" i="3"/>
  <c r="AF16" i="3"/>
  <c r="AC16" i="3"/>
  <c r="AD16" i="3" s="1"/>
  <c r="AA16" i="3"/>
  <c r="Z16" i="3"/>
  <c r="X16" i="3"/>
  <c r="W16" i="3"/>
  <c r="T16" i="3"/>
  <c r="U16" i="3" s="1"/>
  <c r="R16" i="3"/>
  <c r="Q16" i="3"/>
  <c r="O16" i="3"/>
  <c r="N16" i="3"/>
  <c r="K16" i="3"/>
  <c r="L16" i="3" s="1"/>
  <c r="I16" i="3"/>
  <c r="H16" i="3"/>
  <c r="AJ15" i="3"/>
  <c r="AI15" i="3"/>
  <c r="AF15" i="3"/>
  <c r="AG15" i="3" s="1"/>
  <c r="AD15" i="3"/>
  <c r="AC15" i="3"/>
  <c r="AA15" i="3"/>
  <c r="Z15" i="3"/>
  <c r="S15" i="3"/>
  <c r="R15" i="3"/>
  <c r="Q15" i="3"/>
  <c r="O15" i="3"/>
  <c r="N15" i="3"/>
  <c r="K15" i="3"/>
  <c r="L15" i="3" s="1"/>
  <c r="H15" i="3"/>
  <c r="I15" i="3" s="1"/>
  <c r="AI14" i="3"/>
  <c r="AJ14" i="3" s="1"/>
  <c r="AF14" i="3"/>
  <c r="AG14" i="3" s="1"/>
  <c r="AD14" i="3"/>
  <c r="AC14" i="3"/>
  <c r="AA14" i="3"/>
  <c r="Z14" i="3"/>
  <c r="W14" i="3"/>
  <c r="X14" i="3" s="1"/>
  <c r="T14" i="3"/>
  <c r="U14" i="3" s="1"/>
  <c r="Q14" i="3"/>
  <c r="R14" i="3" s="1"/>
  <c r="N14" i="3"/>
  <c r="O14" i="3" s="1"/>
  <c r="L14" i="3"/>
  <c r="K14" i="3"/>
  <c r="I14" i="3"/>
  <c r="H14" i="3"/>
  <c r="AI13" i="3"/>
  <c r="AJ13" i="3" s="1"/>
  <c r="AF13" i="3"/>
  <c r="AG13" i="3" s="1"/>
  <c r="AC13" i="3"/>
  <c r="AD13" i="3" s="1"/>
  <c r="Z13" i="3"/>
  <c r="AA13" i="3" s="1"/>
  <c r="X13" i="3"/>
  <c r="W13" i="3"/>
  <c r="U13" i="3"/>
  <c r="T13" i="3"/>
  <c r="Q13" i="3"/>
  <c r="R13" i="3" s="1"/>
  <c r="N13" i="3"/>
  <c r="O13" i="3" s="1"/>
  <c r="K13" i="3"/>
  <c r="L13" i="3" s="1"/>
  <c r="H13" i="3"/>
  <c r="I13" i="3" s="1"/>
  <c r="AJ12" i="3"/>
  <c r="AI12" i="3"/>
  <c r="AG12" i="3"/>
  <c r="AF12" i="3"/>
  <c r="AC12" i="3"/>
  <c r="AD12" i="3" s="1"/>
  <c r="Z12" i="3"/>
  <c r="AA12" i="3" s="1"/>
  <c r="W12" i="3"/>
  <c r="X12" i="3" s="1"/>
  <c r="T12" i="3"/>
  <c r="U12" i="3" s="1"/>
  <c r="R12" i="3"/>
  <c r="Q12" i="3"/>
  <c r="O12" i="3"/>
  <c r="N12" i="3"/>
  <c r="K12" i="3"/>
  <c r="L12" i="3" s="1"/>
  <c r="H12" i="3"/>
  <c r="I12" i="3" s="1"/>
  <c r="AI11" i="3"/>
  <c r="AJ11" i="3" s="1"/>
  <c r="AF11" i="3"/>
  <c r="AG11" i="3" s="1"/>
  <c r="AD11" i="3"/>
  <c r="AC11" i="3"/>
  <c r="AA11" i="3"/>
  <c r="Z11" i="3"/>
  <c r="W11" i="3"/>
  <c r="X11" i="3" s="1"/>
  <c r="T11" i="3"/>
  <c r="U11" i="3" s="1"/>
  <c r="Q11" i="3"/>
  <c r="R11" i="3" s="1"/>
  <c r="N11" i="3"/>
  <c r="O11" i="3" s="1"/>
  <c r="L11" i="3"/>
  <c r="K11" i="3"/>
  <c r="I11" i="3"/>
  <c r="H11" i="3"/>
  <c r="AI10" i="3"/>
  <c r="AJ10" i="3" s="1"/>
  <c r="AF10" i="3"/>
  <c r="AG10" i="3" s="1"/>
  <c r="AC10" i="3"/>
  <c r="AD10" i="3" s="1"/>
  <c r="Z10" i="3"/>
  <c r="AA10" i="3" s="1"/>
  <c r="X10" i="3"/>
  <c r="W10" i="3"/>
  <c r="U10" i="3"/>
  <c r="T10" i="3"/>
  <c r="Q10" i="3"/>
  <c r="R10" i="3" s="1"/>
  <c r="N10" i="3"/>
  <c r="O10" i="3" s="1"/>
  <c r="K10" i="3"/>
  <c r="L10" i="3" s="1"/>
  <c r="H10" i="3"/>
  <c r="I10" i="3" s="1"/>
  <c r="AJ9" i="3"/>
  <c r="AI9" i="3"/>
  <c r="AG9" i="3"/>
  <c r="AF9" i="3"/>
  <c r="AC9" i="3"/>
  <c r="AD9" i="3" s="1"/>
  <c r="Z9" i="3"/>
  <c r="AA9" i="3" s="1"/>
  <c r="W9" i="3"/>
  <c r="X9" i="3" s="1"/>
  <c r="T9" i="3"/>
  <c r="U9" i="3" s="1"/>
  <c r="R9" i="3"/>
  <c r="Q9" i="3"/>
  <c r="O9" i="3"/>
  <c r="N9" i="3"/>
  <c r="K9" i="3"/>
  <c r="L9" i="3" s="1"/>
  <c r="H9" i="3"/>
  <c r="I9" i="3" s="1"/>
  <c r="AI8" i="3"/>
  <c r="AJ8" i="3" s="1"/>
  <c r="AF8" i="3"/>
  <c r="AG8" i="3" s="1"/>
  <c r="AD8" i="3"/>
  <c r="AC8" i="3"/>
  <c r="AA8" i="3"/>
  <c r="Z8" i="3"/>
  <c r="W8" i="3"/>
  <c r="X8" i="3" s="1"/>
  <c r="T8" i="3"/>
  <c r="U8" i="3" s="1"/>
  <c r="Q8" i="3"/>
  <c r="R8" i="3" s="1"/>
  <c r="N8" i="3"/>
  <c r="O8" i="3" s="1"/>
  <c r="L8" i="3"/>
  <c r="K8" i="3"/>
  <c r="I8" i="3"/>
  <c r="H8" i="3"/>
  <c r="AI7" i="3"/>
  <c r="AJ7" i="3" s="1"/>
  <c r="AF7" i="3"/>
  <c r="AG7" i="3" s="1"/>
  <c r="AC7" i="3"/>
  <c r="AD7" i="3" s="1"/>
  <c r="Z7" i="3"/>
  <c r="AA7" i="3" s="1"/>
  <c r="X7" i="3"/>
  <c r="W7" i="3"/>
  <c r="U7" i="3"/>
  <c r="T7" i="3"/>
  <c r="Q7" i="3"/>
  <c r="R7" i="3" s="1"/>
  <c r="N7" i="3"/>
  <c r="O7" i="3" s="1"/>
  <c r="K7" i="3"/>
  <c r="L7" i="3" s="1"/>
  <c r="H7" i="3"/>
  <c r="I7" i="3" s="1"/>
  <c r="AJ6" i="3"/>
  <c r="AI6" i="3"/>
  <c r="AG6" i="3"/>
  <c r="AF6" i="3"/>
  <c r="AC6" i="3"/>
  <c r="AD6" i="3" s="1"/>
  <c r="Z6" i="3"/>
  <c r="AA6" i="3" s="1"/>
  <c r="W6" i="3"/>
  <c r="X6" i="3" s="1"/>
  <c r="T6" i="3"/>
  <c r="U6" i="3" s="1"/>
  <c r="R6" i="3"/>
  <c r="Q6" i="3"/>
  <c r="O6" i="3"/>
  <c r="N6" i="3"/>
  <c r="K6" i="3"/>
  <c r="L6" i="3" s="1"/>
  <c r="H6" i="3"/>
  <c r="I6" i="3" s="1"/>
  <c r="AI5" i="3"/>
  <c r="AJ5" i="3" s="1"/>
  <c r="AF5" i="3"/>
  <c r="AG5" i="3" s="1"/>
  <c r="AD5" i="3"/>
  <c r="AC5" i="3"/>
  <c r="AA5" i="3"/>
  <c r="Z5" i="3"/>
  <c r="W5" i="3"/>
  <c r="X5" i="3" s="1"/>
  <c r="T5" i="3"/>
  <c r="U5" i="3" s="1"/>
  <c r="Q5" i="3"/>
  <c r="R5" i="3" s="1"/>
  <c r="N5" i="3"/>
  <c r="O5" i="3" s="1"/>
  <c r="L5" i="3"/>
  <c r="K5" i="3"/>
  <c r="I5" i="3"/>
  <c r="H5" i="3"/>
  <c r="AI4" i="3"/>
  <c r="AJ4" i="3" s="1"/>
  <c r="AF4" i="3"/>
  <c r="AG4" i="3" s="1"/>
  <c r="AC4" i="3"/>
  <c r="AD4" i="3" s="1"/>
  <c r="Z4" i="3"/>
  <c r="AA4" i="3" s="1"/>
  <c r="X4" i="3"/>
  <c r="W4" i="3"/>
  <c r="U4" i="3"/>
  <c r="T4" i="3"/>
  <c r="Q4" i="3"/>
  <c r="R4" i="3" s="1"/>
  <c r="N4" i="3"/>
  <c r="O4" i="3" s="1"/>
  <c r="K4" i="3"/>
  <c r="L4" i="3" s="1"/>
  <c r="H4" i="3"/>
  <c r="I4" i="3" s="1"/>
  <c r="AH3" i="3"/>
  <c r="AI3" i="3" s="1"/>
  <c r="AE3" i="3"/>
  <c r="AF3" i="3" s="1"/>
  <c r="AB3" i="3"/>
  <c r="AG3" i="3" s="1"/>
  <c r="Y3" i="3"/>
  <c r="V3" i="3"/>
  <c r="P3" i="3"/>
  <c r="M3" i="3"/>
  <c r="J3" i="3"/>
  <c r="K3" i="3" s="1"/>
  <c r="G3" i="3"/>
  <c r="H3" i="3" s="1"/>
  <c r="D3" i="3"/>
  <c r="I3" i="3" s="1"/>
  <c r="AD3" i="3" l="1"/>
  <c r="X15" i="3"/>
  <c r="AG22" i="3"/>
  <c r="R3" i="3"/>
  <c r="W3" i="3"/>
  <c r="AJ22" i="3"/>
  <c r="N22" i="3"/>
  <c r="O22" i="3" s="1"/>
  <c r="Z22" i="3"/>
  <c r="W15" i="3"/>
  <c r="S3" i="3"/>
  <c r="L3" i="3"/>
  <c r="AJ3" i="3"/>
  <c r="AA22" i="3"/>
  <c r="N3" i="3"/>
  <c r="O3" i="3" s="1"/>
  <c r="Z3" i="3"/>
  <c r="AA3" i="3" s="1"/>
  <c r="T15" i="3"/>
  <c r="U15" i="3" s="1"/>
  <c r="Q22" i="3"/>
  <c r="R22" i="3" s="1"/>
  <c r="AC22" i="3"/>
  <c r="AD22" i="3" s="1"/>
  <c r="AF22" i="3"/>
  <c r="Q3" i="3"/>
  <c r="AC3" i="3"/>
  <c r="H22" i="3"/>
  <c r="I22" i="3" s="1"/>
  <c r="T22" i="3"/>
  <c r="U22" i="3" s="1"/>
  <c r="T3" i="3" l="1"/>
  <c r="U3" i="3" s="1"/>
  <c r="X3" i="3"/>
</calcChain>
</file>

<file path=xl/sharedStrings.xml><?xml version="1.0" encoding="utf-8"?>
<sst xmlns="http://schemas.openxmlformats.org/spreadsheetml/2006/main" count="24" uniqueCount="24">
  <si>
    <t>华安基金</t>
  </si>
  <si>
    <t>天弘基金</t>
  </si>
  <si>
    <t>博时基金</t>
  </si>
  <si>
    <t>天天基金</t>
  </si>
  <si>
    <t>招商银行</t>
  </si>
  <si>
    <t>雪球</t>
  </si>
  <si>
    <t>总金额</t>
  </si>
  <si>
    <t>银行</t>
  </si>
  <si>
    <t>招商信用卡</t>
  </si>
  <si>
    <t>网商银行</t>
  </si>
  <si>
    <t>长沙银行</t>
  </si>
  <si>
    <t>建设银行</t>
  </si>
  <si>
    <t>股市</t>
  </si>
  <si>
    <t>蜻蜓点金</t>
  </si>
  <si>
    <t>互联网</t>
  </si>
  <si>
    <t>支付宝</t>
  </si>
  <si>
    <t>微信</t>
  </si>
  <si>
    <t>花呗</t>
  </si>
  <si>
    <t>抖音</t>
  </si>
  <si>
    <t>美团</t>
  </si>
  <si>
    <t>房贷</t>
  </si>
  <si>
    <t>公积金</t>
  </si>
  <si>
    <t>贷款</t>
  </si>
  <si>
    <t>广义金额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</si>
</sst>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yyyy&quot;年&quot;mm&quot;月&quot;dd&quot;日&quot;"/>
    <numFmt numFmtId="179" formatCode="yyyy&quot;年&quot;mm&quot;月&quot;dd&quot;日&quot;\ h&quot;时&quot;"/>
  </numFmts>
  <fonts count="6">
    <font>
      <sz val="10"/>
      <name val="Microsoft YaHei"/>
      <charset val="134"/>
    </font>
    <font>
      <b/>
      <sz val="10"/>
      <name val="Microsoft YaHei"/>
      <charset val="134"/>
    </font>
    <font>
      <b/>
      <sz val="10"/>
      <color rgb="FF00B050"/>
      <name val="Microsoft YaHei"/>
      <charset val="134"/>
    </font>
    <font>
      <b/>
      <sz val="10"/>
      <color rgb="FF00AA5B"/>
      <name val="Microsoft YaHei"/>
      <charset val="134"/>
    </font>
    <font>
      <b/>
      <sz val="10"/>
      <color rgb="FFC2C2C2"/>
      <name val="Microsoft YaHei"/>
      <charset val="134"/>
    </font>
    <font>
      <sz val="9"/>
      <name val="Microsoft YaHei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10" fontId="4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21">
    <dxf>
      <font>
        <b/>
        <i val="0"/>
        <strike val="0"/>
        <color rgb="FF485368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lor rgb="FF00AA5B"/>
      </font>
      <fill>
        <patternFill patternType="solid">
          <fgColor rgb="FFEEFCDE"/>
          <bgColor rgb="FFEEFCDE"/>
        </patternFill>
      </fill>
    </dxf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  <dxf>
      <font>
        <b val="0"/>
        <i val="0"/>
        <strike val="0"/>
        <color rgb="FFC2C2C2"/>
      </font>
      <fill>
        <patternFill patternType="solid">
          <fgColor rgb="FFF5F5F5"/>
          <bgColor rgb="FFF5F5F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107" dbFileVersion="0">
    <open main="47" threadCnt="1"/>
    <sheetInfos>
      <sheetInfo cellCmpFml="36" sheetStid="1">
        <open main="4" threadCnt="1"/>
      </sheetInfo>
      <sheetInfo cellCmpFml="20" sheetStid="2">
        <open main="5" threadCnt="1"/>
      </sheetInfo>
      <sheetInfo cellCmpFml="51" sheetStid="3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结余"/>
  <dimension ref="B1:AJ204"/>
  <sheetViews>
    <sheetView tabSelected="1" workbookViewId="0">
      <pane xSplit="3" topLeftCell="AH1" activePane="topRight" state="frozen"/>
      <selection pane="topRight" activeCell="AO7" sqref="AO7"/>
    </sheetView>
  </sheetViews>
  <sheetFormatPr defaultColWidth="14" defaultRowHeight="18" customHeight="1"/>
  <cols>
    <col min="1" max="1" width="2" customWidth="1"/>
    <col min="22" max="22" width="18.296875" customWidth="1"/>
  </cols>
  <sheetData>
    <row r="1" spans="2:36" ht="15.6" thickBot="1"/>
    <row r="2" spans="2:36" ht="16.2" thickTop="1" thickBot="1">
      <c r="B2" s="23" t="s">
        <v>6</v>
      </c>
      <c r="C2" s="12"/>
      <c r="D2" s="17">
        <v>45660</v>
      </c>
      <c r="E2" s="18"/>
      <c r="F2" s="19"/>
      <c r="G2" s="20">
        <v>45784</v>
      </c>
      <c r="H2" s="12"/>
      <c r="I2" s="12"/>
      <c r="J2" s="20">
        <v>45847</v>
      </c>
      <c r="K2" s="12"/>
      <c r="L2" s="12"/>
      <c r="M2" s="20">
        <v>45850</v>
      </c>
      <c r="N2" s="12"/>
      <c r="O2" s="12"/>
      <c r="P2" s="20">
        <v>45901</v>
      </c>
      <c r="Q2" s="12"/>
      <c r="R2" s="12"/>
      <c r="S2" s="21">
        <v>45939.416666666701</v>
      </c>
      <c r="T2" s="12"/>
      <c r="U2" s="12"/>
      <c r="V2" s="21">
        <v>45977.916666666701</v>
      </c>
      <c r="W2" s="12"/>
      <c r="X2" s="12"/>
      <c r="Y2" s="21">
        <v>46000.416666666701</v>
      </c>
      <c r="Z2" s="12"/>
      <c r="AA2" s="12"/>
      <c r="AB2" s="21">
        <v>46034.416666666701</v>
      </c>
      <c r="AC2" s="12"/>
      <c r="AD2" s="12"/>
      <c r="AE2" s="21">
        <v>46062.416666666701</v>
      </c>
      <c r="AF2" s="12"/>
      <c r="AG2" s="12"/>
      <c r="AH2" s="21">
        <v>46089.416666666701</v>
      </c>
      <c r="AI2" s="12"/>
      <c r="AJ2" s="12"/>
    </row>
    <row r="3" spans="2:36" ht="16.8" thickTop="1" thickBot="1">
      <c r="B3" s="12"/>
      <c r="C3" s="12"/>
      <c r="D3" s="2">
        <f>SUM(D15:D19,D4:D13)</f>
        <v>239634.42</v>
      </c>
      <c r="E3" s="3"/>
      <c r="F3" s="3"/>
      <c r="G3" s="2">
        <f>SUM(G15:G19,G4:G13)</f>
        <v>251459.36000000002</v>
      </c>
      <c r="H3" s="4">
        <f t="shared" ref="H3:H22" si="0">G3-D3</f>
        <v>11824.940000000002</v>
      </c>
      <c r="I3" s="5">
        <f t="shared" ref="I3:I22" si="1">IF(D3&lt;&gt;0,MIN(H3/ABS(D3),99.9999),IF(H3=0,0,"新增"))</f>
        <v>4.9345749245872116E-2</v>
      </c>
      <c r="J3" s="2">
        <f>SUM(J15:J19,J4:J13)</f>
        <v>292419.76</v>
      </c>
      <c r="K3" s="4">
        <f t="shared" ref="K3:K22" si="2">J3-G3</f>
        <v>40960.399999999994</v>
      </c>
      <c r="L3" s="5">
        <f t="shared" ref="L3:L22" si="3">IF(G3&lt;&gt;0,MIN(K3/ABS(G3),99.9999),IF(K3=0,0,"新增"))</f>
        <v>0.16289073510725546</v>
      </c>
      <c r="M3" s="2">
        <f>SUM(M15:M19,M4:M13)</f>
        <v>292159.70999999996</v>
      </c>
      <c r="N3" s="4">
        <f t="shared" ref="N3:N22" si="4">M3-J3</f>
        <v>-260.05000000004657</v>
      </c>
      <c r="O3" s="5">
        <f t="shared" ref="O3:O22" si="5">IF(J3&lt;&gt;0,MIN(N3/ABS(J3),99.9999),IF(N3=0,0,"新增"))</f>
        <v>-8.8930378713137086E-4</v>
      </c>
      <c r="P3" s="2">
        <f>SUM(P15:P19,P4:P13)</f>
        <v>288187.45999999996</v>
      </c>
      <c r="Q3" s="4">
        <f t="shared" ref="Q3:Q22" si="6">P3-M3</f>
        <v>-3972.25</v>
      </c>
      <c r="R3" s="5">
        <f t="shared" ref="R3:R22" si="7">IF(M3&lt;&gt;0,MIN(Q3/ABS(M3),99.9999),IF(Q3=0,0,"新增"))</f>
        <v>-1.3596159443066261E-2</v>
      </c>
      <c r="S3" s="2">
        <f>SUM(S15:S19,S4:S13)</f>
        <v>298844.02999999997</v>
      </c>
      <c r="T3" s="4">
        <f t="shared" ref="T3:T22" si="8">S3-P3</f>
        <v>10656.570000000007</v>
      </c>
      <c r="U3" s="5">
        <f t="shared" ref="U3:U22" si="9">IF(P3&lt;&gt;0,MIN(T3/ABS(P3),99.9999),IF(T3=0,0,"新增"))</f>
        <v>3.6977910142238696E-2</v>
      </c>
      <c r="V3" s="2">
        <f>SUM(V15:V19,V4:V13)</f>
        <v>308541.91999999993</v>
      </c>
      <c r="W3" s="4">
        <f t="shared" ref="W3:W15" si="10">V3-S3</f>
        <v>9697.8899999999558</v>
      </c>
      <c r="X3" s="5">
        <f t="shared" ref="X3:X22" si="11">IF(S3&lt;&gt;0,MIN(W3/ABS(S3),99.9999),IF(W3=0,0,"新增"))</f>
        <v>3.2451342594998323E-2</v>
      </c>
      <c r="Y3" s="2">
        <f>SUM(Y15:Y19,Y4:Y13)</f>
        <v>319557.71000000002</v>
      </c>
      <c r="Z3" s="4">
        <f t="shared" ref="Z3:Z22" si="12">Y3-V3</f>
        <v>11015.790000000095</v>
      </c>
      <c r="AA3" s="5">
        <f t="shared" ref="AA3:AA22" si="13">IF(V3&lt;&gt;0,MIN(Z3/ABS(V3),99.9999),IF(Z3=0,0,"新增"))</f>
        <v>3.5702733683643698E-2</v>
      </c>
      <c r="AB3" s="2">
        <f>SUM(AB15:AB19,AB4:AB13)</f>
        <v>312035.65000000002</v>
      </c>
      <c r="AC3" s="4">
        <f t="shared" ref="AC3:AC22" si="14">AB3-Y3</f>
        <v>-7522.0599999999977</v>
      </c>
      <c r="AD3" s="5">
        <f t="shared" ref="AD3:AD22" si="15">IF(Y3&lt;&gt;0,MIN(AC3/ABS(Y3),99.9999),IF(AC3=0,0,"新增"))</f>
        <v>-2.3538972037319948E-2</v>
      </c>
      <c r="AE3" s="2">
        <f>SUM(AE15:AE19,AE4:AE13)</f>
        <v>303811.06</v>
      </c>
      <c r="AF3" s="4">
        <f t="shared" ref="AF3:AF22" si="16">AE3-AB3</f>
        <v>-8224.5900000000256</v>
      </c>
      <c r="AG3" s="5">
        <f t="shared" ref="AG3:AG22" si="17">IF(AB3&lt;&gt;0,MIN(AF3/ABS(AB3),99.9999),IF(AF3=0,0,"新增"))</f>
        <v>-2.6357853661913389E-2</v>
      </c>
      <c r="AH3" s="2">
        <f>SUM(AH15:AH19,AH4:AH13)</f>
        <v>312004.3</v>
      </c>
      <c r="AI3" s="4">
        <f t="shared" ref="AI3:AI22" si="18">AH3-AE3</f>
        <v>8193.2399999999907</v>
      </c>
      <c r="AJ3" s="5">
        <f t="shared" ref="AJ3:AJ22" si="19">IF(AE3&lt;&gt;0,MIN(AI3/ABS(AE3),99.9999),IF(AI3=0,0,"新增"))</f>
        <v>2.6968208464826761E-2</v>
      </c>
    </row>
    <row r="4" spans="2:36" ht="16.8" thickTop="1" thickBot="1">
      <c r="B4" s="13" t="s">
        <v>7</v>
      </c>
      <c r="C4" s="6" t="s">
        <v>4</v>
      </c>
      <c r="D4" s="1">
        <v>153708.20000000001</v>
      </c>
      <c r="E4" s="7"/>
      <c r="F4" s="7"/>
      <c r="G4" s="1">
        <v>157164.57</v>
      </c>
      <c r="H4" s="4">
        <f t="shared" si="0"/>
        <v>3456.3699999999953</v>
      </c>
      <c r="I4" s="5">
        <f t="shared" si="1"/>
        <v>2.2486568706158779E-2</v>
      </c>
      <c r="J4" s="1">
        <v>135309.28</v>
      </c>
      <c r="K4" s="4">
        <f t="shared" si="2"/>
        <v>-21855.290000000008</v>
      </c>
      <c r="L4" s="5">
        <f t="shared" si="3"/>
        <v>-0.13905990389564268</v>
      </c>
      <c r="M4" s="1">
        <v>135270.65</v>
      </c>
      <c r="N4" s="4">
        <f t="shared" si="4"/>
        <v>-38.630000000004657</v>
      </c>
      <c r="O4" s="5">
        <f t="shared" si="5"/>
        <v>-2.854940917578207E-4</v>
      </c>
      <c r="P4" s="1">
        <v>131964.98000000001</v>
      </c>
      <c r="Q4" s="4">
        <f t="shared" si="6"/>
        <v>-3305.6699999999837</v>
      </c>
      <c r="R4" s="5">
        <f t="shared" si="7"/>
        <v>-2.443745187888122E-2</v>
      </c>
      <c r="S4" s="1">
        <v>135803.48000000001</v>
      </c>
      <c r="T4" s="4">
        <f t="shared" si="8"/>
        <v>3838.5</v>
      </c>
      <c r="U4" s="5">
        <f t="shared" si="9"/>
        <v>2.908726239340164E-2</v>
      </c>
      <c r="V4" s="1">
        <v>117966.94</v>
      </c>
      <c r="W4" s="4">
        <f t="shared" si="10"/>
        <v>-17836.540000000008</v>
      </c>
      <c r="X4" s="5">
        <f t="shared" si="11"/>
        <v>-0.13134081689217394</v>
      </c>
      <c r="Y4" s="1">
        <v>119477.35</v>
      </c>
      <c r="Z4" s="4">
        <f t="shared" si="12"/>
        <v>1510.4100000000035</v>
      </c>
      <c r="AA4" s="5">
        <f t="shared" si="13"/>
        <v>1.2803671944020956E-2</v>
      </c>
      <c r="AB4" s="1">
        <v>106894.46</v>
      </c>
      <c r="AC4" s="4">
        <f t="shared" si="14"/>
        <v>-12582.89</v>
      </c>
      <c r="AD4" s="5">
        <f t="shared" si="15"/>
        <v>-0.10531611221708549</v>
      </c>
      <c r="AE4" s="1">
        <v>120414.55</v>
      </c>
      <c r="AF4" s="4">
        <f t="shared" si="16"/>
        <v>13520.089999999997</v>
      </c>
      <c r="AG4" s="5">
        <f t="shared" si="17"/>
        <v>0.12648073623272896</v>
      </c>
      <c r="AH4" s="1">
        <v>121019.03</v>
      </c>
      <c r="AI4" s="4">
        <f t="shared" si="18"/>
        <v>604.47999999999593</v>
      </c>
      <c r="AJ4" s="5">
        <f t="shared" si="19"/>
        <v>5.0199913548653044E-3</v>
      </c>
    </row>
    <row r="5" spans="2:36" ht="16.8" thickTop="1" thickBot="1">
      <c r="B5" s="12"/>
      <c r="C5" s="6" t="s">
        <v>8</v>
      </c>
      <c r="D5" s="1">
        <v>-6926.87</v>
      </c>
      <c r="E5" s="7"/>
      <c r="F5" s="7"/>
      <c r="G5" s="1">
        <v>-7924.02</v>
      </c>
      <c r="H5" s="4">
        <f t="shared" si="0"/>
        <v>-997.15000000000055</v>
      </c>
      <c r="I5" s="5">
        <f t="shared" si="1"/>
        <v>-0.1439539070316031</v>
      </c>
      <c r="J5" s="1">
        <v>-9092.02</v>
      </c>
      <c r="K5" s="4">
        <f t="shared" si="2"/>
        <v>-1168</v>
      </c>
      <c r="L5" s="5">
        <f t="shared" si="3"/>
        <v>-0.14739993084318312</v>
      </c>
      <c r="M5" s="1">
        <v>-9608.69</v>
      </c>
      <c r="N5" s="4">
        <f t="shared" si="4"/>
        <v>-516.67000000000007</v>
      </c>
      <c r="O5" s="5">
        <f t="shared" si="5"/>
        <v>-5.682675577044486E-2</v>
      </c>
      <c r="P5" s="1">
        <v>-4291.57</v>
      </c>
      <c r="Q5" s="4">
        <f t="shared" si="6"/>
        <v>5317.1200000000008</v>
      </c>
      <c r="R5" s="5">
        <f t="shared" si="7"/>
        <v>0.55336575537352128</v>
      </c>
      <c r="S5" s="1">
        <v>-8540.5</v>
      </c>
      <c r="T5" s="4">
        <f t="shared" si="8"/>
        <v>-4248.93</v>
      </c>
      <c r="U5" s="5">
        <f t="shared" si="9"/>
        <v>-0.99006424222370848</v>
      </c>
      <c r="V5" s="1">
        <v>-4881.8100000000004</v>
      </c>
      <c r="W5" s="4">
        <f t="shared" si="10"/>
        <v>3658.6899999999996</v>
      </c>
      <c r="X5" s="5">
        <f t="shared" si="11"/>
        <v>0.42839295123236337</v>
      </c>
      <c r="Y5" s="1">
        <v>-4585.99</v>
      </c>
      <c r="Z5" s="4">
        <f t="shared" si="12"/>
        <v>295.82000000000062</v>
      </c>
      <c r="AA5" s="5">
        <f t="shared" si="13"/>
        <v>6.0596377163388289E-2</v>
      </c>
      <c r="AB5" s="1">
        <v>-4344.3500000000004</v>
      </c>
      <c r="AC5" s="4">
        <f t="shared" si="14"/>
        <v>241.63999999999942</v>
      </c>
      <c r="AD5" s="5">
        <f t="shared" si="15"/>
        <v>5.2690912976260183E-2</v>
      </c>
      <c r="AE5" s="1">
        <v>-3246.85</v>
      </c>
      <c r="AF5" s="4">
        <f t="shared" si="16"/>
        <v>1097.5000000000005</v>
      </c>
      <c r="AG5" s="5">
        <f t="shared" si="17"/>
        <v>0.25262697526672584</v>
      </c>
      <c r="AH5" s="1">
        <v>-2577.37</v>
      </c>
      <c r="AI5" s="4">
        <f t="shared" si="18"/>
        <v>669.48</v>
      </c>
      <c r="AJ5" s="5">
        <f t="shared" si="19"/>
        <v>0.20619369542787627</v>
      </c>
    </row>
    <row r="6" spans="2:36" ht="16.8" thickTop="1" thickBot="1">
      <c r="B6" s="12"/>
      <c r="C6" s="6" t="s">
        <v>9</v>
      </c>
      <c r="D6" s="1">
        <v>50000</v>
      </c>
      <c r="E6" s="7"/>
      <c r="F6" s="7"/>
      <c r="G6" s="1">
        <v>50042.25</v>
      </c>
      <c r="H6" s="4">
        <f t="shared" si="0"/>
        <v>42.25</v>
      </c>
      <c r="I6" s="5">
        <f t="shared" si="1"/>
        <v>8.4500000000000005E-4</v>
      </c>
      <c r="J6" s="1">
        <v>51002.18</v>
      </c>
      <c r="K6" s="4">
        <f t="shared" si="2"/>
        <v>959.93000000000029</v>
      </c>
      <c r="L6" s="5">
        <f t="shared" si="3"/>
        <v>1.9182390879706655E-2</v>
      </c>
      <c r="M6" s="1">
        <v>51002.28</v>
      </c>
      <c r="N6" s="4">
        <f t="shared" si="4"/>
        <v>9.9999999998544808E-2</v>
      </c>
      <c r="O6" s="5">
        <f t="shared" si="5"/>
        <v>1.9607005033617152E-6</v>
      </c>
      <c r="P6" s="1">
        <v>50784.5</v>
      </c>
      <c r="Q6" s="4">
        <f t="shared" si="6"/>
        <v>-217.77999999999884</v>
      </c>
      <c r="R6" s="5">
        <f t="shared" si="7"/>
        <v>-4.2700051840819436E-3</v>
      </c>
      <c r="S6" s="1">
        <v>50534.51</v>
      </c>
      <c r="T6" s="4">
        <f t="shared" si="8"/>
        <v>-249.98999999999796</v>
      </c>
      <c r="U6" s="5">
        <f t="shared" si="9"/>
        <v>-4.9225649558427859E-3</v>
      </c>
      <c r="V6" s="1">
        <v>50360.86</v>
      </c>
      <c r="W6" s="4">
        <f t="shared" si="10"/>
        <v>-173.65000000000146</v>
      </c>
      <c r="X6" s="5">
        <f t="shared" si="11"/>
        <v>-3.436265633128756E-3</v>
      </c>
      <c r="Y6" s="1">
        <v>50361.27</v>
      </c>
      <c r="Z6" s="4">
        <f t="shared" si="12"/>
        <v>0.4099999999962165</v>
      </c>
      <c r="AA6" s="5">
        <f t="shared" si="13"/>
        <v>8.1412430207946506E-6</v>
      </c>
      <c r="AB6" s="1">
        <v>50342.23</v>
      </c>
      <c r="AC6" s="4">
        <f t="shared" si="14"/>
        <v>-19.039999999993597</v>
      </c>
      <c r="AD6" s="5">
        <f t="shared" si="15"/>
        <v>-3.7806830526699583E-4</v>
      </c>
      <c r="AE6" s="1">
        <v>50342.6</v>
      </c>
      <c r="AF6" s="4">
        <f t="shared" si="16"/>
        <v>0.36999999999534339</v>
      </c>
      <c r="AG6" s="5">
        <f t="shared" si="17"/>
        <v>7.349694282421406E-6</v>
      </c>
      <c r="AH6" s="1">
        <v>50342.6</v>
      </c>
      <c r="AI6" s="4">
        <f t="shared" si="18"/>
        <v>0</v>
      </c>
      <c r="AJ6" s="5">
        <f t="shared" si="19"/>
        <v>0</v>
      </c>
    </row>
    <row r="7" spans="2:36" ht="16.8" thickTop="1" thickBot="1">
      <c r="B7" s="12"/>
      <c r="C7" s="6" t="s">
        <v>10</v>
      </c>
      <c r="D7" s="1">
        <v>640.33000000000004</v>
      </c>
      <c r="E7" s="7"/>
      <c r="F7" s="7"/>
      <c r="G7" s="1">
        <v>90.51</v>
      </c>
      <c r="H7" s="4">
        <f t="shared" si="0"/>
        <v>-549.82000000000005</v>
      </c>
      <c r="I7" s="5">
        <f t="shared" si="1"/>
        <v>-0.85865100807396189</v>
      </c>
      <c r="J7" s="1">
        <v>90.52</v>
      </c>
      <c r="K7" s="4">
        <f t="shared" si="2"/>
        <v>9.9999999999909051E-3</v>
      </c>
      <c r="L7" s="5">
        <f t="shared" si="3"/>
        <v>1.1048502927843227E-4</v>
      </c>
      <c r="M7" s="1">
        <v>90.52</v>
      </c>
      <c r="N7" s="4">
        <f t="shared" si="4"/>
        <v>0</v>
      </c>
      <c r="O7" s="5">
        <f t="shared" si="5"/>
        <v>0</v>
      </c>
      <c r="P7" s="1">
        <v>3.52</v>
      </c>
      <c r="Q7" s="4">
        <f t="shared" si="6"/>
        <v>-87</v>
      </c>
      <c r="R7" s="5">
        <f t="shared" si="7"/>
        <v>-0.96111356606274856</v>
      </c>
      <c r="S7" s="1">
        <v>3.52</v>
      </c>
      <c r="T7" s="4">
        <f t="shared" si="8"/>
        <v>0</v>
      </c>
      <c r="U7" s="5">
        <f t="shared" si="9"/>
        <v>0</v>
      </c>
      <c r="V7" s="1">
        <v>0</v>
      </c>
      <c r="W7" s="4">
        <f t="shared" si="10"/>
        <v>-3.52</v>
      </c>
      <c r="X7" s="5">
        <f t="shared" si="11"/>
        <v>-1</v>
      </c>
      <c r="Y7" s="1">
        <v>0</v>
      </c>
      <c r="Z7" s="4">
        <f t="shared" si="12"/>
        <v>0</v>
      </c>
      <c r="AA7" s="5">
        <f t="shared" si="13"/>
        <v>0</v>
      </c>
      <c r="AB7" s="1">
        <v>0</v>
      </c>
      <c r="AC7" s="4">
        <f t="shared" si="14"/>
        <v>0</v>
      </c>
      <c r="AD7" s="5">
        <f t="shared" si="15"/>
        <v>0</v>
      </c>
      <c r="AE7" s="1">
        <v>0.75</v>
      </c>
      <c r="AF7" s="4">
        <f t="shared" si="16"/>
        <v>0.75</v>
      </c>
      <c r="AG7" s="5" t="str">
        <f t="shared" si="17"/>
        <v>新增</v>
      </c>
      <c r="AH7" s="1">
        <v>0.75</v>
      </c>
      <c r="AI7" s="4">
        <f t="shared" si="18"/>
        <v>0</v>
      </c>
      <c r="AJ7" s="5">
        <f t="shared" si="19"/>
        <v>0</v>
      </c>
    </row>
    <row r="8" spans="2:36" ht="16.8" thickTop="1" thickBot="1">
      <c r="B8" s="12"/>
      <c r="C8" s="6" t="s">
        <v>11</v>
      </c>
      <c r="D8" s="1">
        <v>0</v>
      </c>
      <c r="E8" s="7"/>
      <c r="F8" s="7"/>
      <c r="G8" s="1">
        <v>0</v>
      </c>
      <c r="H8" s="4">
        <f t="shared" si="0"/>
        <v>0</v>
      </c>
      <c r="I8" s="5">
        <f t="shared" si="1"/>
        <v>0</v>
      </c>
      <c r="J8" s="1">
        <v>1.1100000000000001</v>
      </c>
      <c r="K8" s="4">
        <f t="shared" si="2"/>
        <v>1.1100000000000001</v>
      </c>
      <c r="L8" s="5" t="str">
        <f t="shared" si="3"/>
        <v>新增</v>
      </c>
      <c r="M8" s="1">
        <v>1.1100000000000001</v>
      </c>
      <c r="N8" s="4">
        <f t="shared" si="4"/>
        <v>0</v>
      </c>
      <c r="O8" s="5">
        <f t="shared" si="5"/>
        <v>0</v>
      </c>
      <c r="P8" s="1">
        <v>10004.950000000001</v>
      </c>
      <c r="Q8" s="4">
        <f t="shared" si="6"/>
        <v>10003.84</v>
      </c>
      <c r="R8" s="5">
        <f t="shared" si="7"/>
        <v>99.999899999999997</v>
      </c>
      <c r="S8" s="1">
        <v>10017.459999999999</v>
      </c>
      <c r="T8" s="4">
        <f t="shared" si="8"/>
        <v>12.509999999998399</v>
      </c>
      <c r="U8" s="5">
        <f t="shared" si="9"/>
        <v>1.2503810613744594E-3</v>
      </c>
      <c r="V8" s="1">
        <v>9332.85</v>
      </c>
      <c r="W8" s="4">
        <f t="shared" si="10"/>
        <v>-684.60999999999876</v>
      </c>
      <c r="X8" s="5">
        <f t="shared" si="11"/>
        <v>-6.8341675434690913E-2</v>
      </c>
      <c r="Y8" s="1">
        <v>3617.85</v>
      </c>
      <c r="Z8" s="4">
        <f t="shared" si="12"/>
        <v>-5715</v>
      </c>
      <c r="AA8" s="5">
        <f t="shared" si="13"/>
        <v>-0.6123531397161639</v>
      </c>
      <c r="AB8" s="1">
        <v>4098.1899999999996</v>
      </c>
      <c r="AC8" s="4">
        <f t="shared" si="14"/>
        <v>480.33999999999969</v>
      </c>
      <c r="AD8" s="5">
        <f t="shared" si="15"/>
        <v>0.13276946252608585</v>
      </c>
      <c r="AE8" s="1">
        <v>2607.9</v>
      </c>
      <c r="AF8" s="4">
        <f t="shared" si="16"/>
        <v>-1490.2899999999995</v>
      </c>
      <c r="AG8" s="5">
        <f t="shared" si="17"/>
        <v>-0.36364590221536819</v>
      </c>
      <c r="AH8" s="1">
        <v>3026.19</v>
      </c>
      <c r="AI8" s="4">
        <f t="shared" si="18"/>
        <v>418.28999999999996</v>
      </c>
      <c r="AJ8" s="5">
        <f t="shared" si="19"/>
        <v>0.16039341999309786</v>
      </c>
    </row>
    <row r="9" spans="2:36" ht="19.05" customHeight="1" thickTop="1" thickBot="1">
      <c r="B9" s="14" t="s">
        <v>12</v>
      </c>
      <c r="C9" s="6" t="s">
        <v>0</v>
      </c>
      <c r="D9" s="1">
        <v>39306.53</v>
      </c>
      <c r="E9" s="7"/>
      <c r="F9" s="7"/>
      <c r="G9" s="1">
        <v>49465.73</v>
      </c>
      <c r="H9" s="4">
        <f t="shared" si="0"/>
        <v>10159.200000000004</v>
      </c>
      <c r="I9" s="5">
        <f t="shared" si="1"/>
        <v>0.25846087151422437</v>
      </c>
      <c r="J9" s="1">
        <v>61844.94</v>
      </c>
      <c r="K9" s="4">
        <f t="shared" si="2"/>
        <v>12379.21</v>
      </c>
      <c r="L9" s="5">
        <f t="shared" si="3"/>
        <v>0.25025831014724736</v>
      </c>
      <c r="M9" s="1">
        <v>62162.05</v>
      </c>
      <c r="N9" s="4">
        <f t="shared" si="4"/>
        <v>317.11000000000058</v>
      </c>
      <c r="O9" s="5">
        <f t="shared" si="5"/>
        <v>5.1275011342884411E-3</v>
      </c>
      <c r="P9" s="1">
        <v>74465.34</v>
      </c>
      <c r="Q9" s="4">
        <f t="shared" si="6"/>
        <v>12303.289999999994</v>
      </c>
      <c r="R9" s="5">
        <f t="shared" si="7"/>
        <v>0.19792284842600899</v>
      </c>
      <c r="S9" s="1">
        <v>87310.78</v>
      </c>
      <c r="T9" s="4">
        <f t="shared" si="8"/>
        <v>12845.440000000002</v>
      </c>
      <c r="U9" s="5">
        <f t="shared" si="9"/>
        <v>0.1725022674978722</v>
      </c>
      <c r="V9" s="1">
        <v>99108.64</v>
      </c>
      <c r="W9" s="4">
        <f t="shared" si="10"/>
        <v>11797.86</v>
      </c>
      <c r="X9" s="5">
        <f t="shared" si="11"/>
        <v>0.1351248952305775</v>
      </c>
      <c r="Y9" s="1">
        <v>107215.49</v>
      </c>
      <c r="Z9" s="4">
        <f t="shared" si="12"/>
        <v>8106.8500000000058</v>
      </c>
      <c r="AA9" s="5">
        <f t="shared" si="13"/>
        <v>8.1797611187077193E-2</v>
      </c>
      <c r="AB9" s="1">
        <v>111565.99</v>
      </c>
      <c r="AC9" s="4">
        <f t="shared" si="14"/>
        <v>4350.5</v>
      </c>
      <c r="AD9" s="5">
        <f t="shared" si="15"/>
        <v>4.0577159139971286E-2</v>
      </c>
      <c r="AE9" s="1">
        <v>109282.28</v>
      </c>
      <c r="AF9" s="4">
        <f t="shared" si="16"/>
        <v>-2283.7100000000064</v>
      </c>
      <c r="AG9" s="5">
        <f t="shared" si="17"/>
        <v>-2.0469589343490847E-2</v>
      </c>
      <c r="AH9" s="1">
        <v>114939.14</v>
      </c>
      <c r="AI9" s="4">
        <f t="shared" si="18"/>
        <v>5656.8600000000006</v>
      </c>
      <c r="AJ9" s="5">
        <f t="shared" si="19"/>
        <v>5.176374431426578E-2</v>
      </c>
    </row>
    <row r="10" spans="2:36" ht="19.05" customHeight="1" thickTop="1" thickBot="1">
      <c r="B10" s="15"/>
      <c r="C10" s="6" t="s">
        <v>3</v>
      </c>
      <c r="D10" s="1">
        <v>3067.32</v>
      </c>
      <c r="E10" s="7"/>
      <c r="F10" s="7"/>
      <c r="G10" s="1">
        <v>3060.83</v>
      </c>
      <c r="H10" s="4">
        <f t="shared" si="0"/>
        <v>-6.4900000000002365</v>
      </c>
      <c r="I10" s="5">
        <f t="shared" si="1"/>
        <v>-2.115853579020199E-3</v>
      </c>
      <c r="J10" s="1">
        <v>3515.89</v>
      </c>
      <c r="K10" s="4">
        <f t="shared" si="2"/>
        <v>455.05999999999995</v>
      </c>
      <c r="L10" s="5">
        <f t="shared" si="3"/>
        <v>0.14867209221028282</v>
      </c>
      <c r="M10" s="1">
        <v>3526.6</v>
      </c>
      <c r="N10" s="4">
        <f t="shared" si="4"/>
        <v>10.710000000000036</v>
      </c>
      <c r="O10" s="5">
        <f t="shared" si="5"/>
        <v>3.0461703864455478E-3</v>
      </c>
      <c r="P10" s="1">
        <v>3983.99</v>
      </c>
      <c r="Q10" s="4">
        <f t="shared" si="6"/>
        <v>457.38999999999987</v>
      </c>
      <c r="R10" s="5">
        <f t="shared" si="7"/>
        <v>0.12969715873646001</v>
      </c>
      <c r="S10" s="1">
        <v>4438.82</v>
      </c>
      <c r="T10" s="4">
        <f t="shared" si="8"/>
        <v>454.82999999999993</v>
      </c>
      <c r="U10" s="5">
        <f t="shared" si="9"/>
        <v>0.11416444318384332</v>
      </c>
      <c r="V10" s="1">
        <v>4321.1099999999997</v>
      </c>
      <c r="W10" s="4">
        <f t="shared" si="10"/>
        <v>-117.71000000000004</v>
      </c>
      <c r="X10" s="5">
        <f t="shared" si="11"/>
        <v>-2.6518308919938192E-2</v>
      </c>
      <c r="Y10" s="1">
        <v>4273.53</v>
      </c>
      <c r="Z10" s="4">
        <f t="shared" si="12"/>
        <v>-47.579999999999927</v>
      </c>
      <c r="AA10" s="5">
        <f t="shared" si="13"/>
        <v>-1.1011059658282231E-2</v>
      </c>
      <c r="AB10" s="1">
        <v>4364.04</v>
      </c>
      <c r="AC10" s="4">
        <f t="shared" si="14"/>
        <v>90.510000000000218</v>
      </c>
      <c r="AD10" s="5">
        <f t="shared" si="15"/>
        <v>2.1179212501140795E-2</v>
      </c>
      <c r="AE10" s="1">
        <v>4215.3</v>
      </c>
      <c r="AF10" s="4">
        <f t="shared" si="16"/>
        <v>-148.73999999999978</v>
      </c>
      <c r="AG10" s="5">
        <f t="shared" si="17"/>
        <v>-3.4083097313498449E-2</v>
      </c>
      <c r="AH10" s="1">
        <v>4049.42</v>
      </c>
      <c r="AI10" s="4">
        <f t="shared" si="18"/>
        <v>-165.88000000000011</v>
      </c>
      <c r="AJ10" s="5">
        <f t="shared" si="19"/>
        <v>-3.9351884800607334E-2</v>
      </c>
    </row>
    <row r="11" spans="2:36" ht="19.05" customHeight="1" thickTop="1" thickBot="1">
      <c r="B11" s="15"/>
      <c r="C11" s="6" t="s">
        <v>2</v>
      </c>
      <c r="D11" s="1">
        <v>0</v>
      </c>
      <c r="E11" s="7"/>
      <c r="F11" s="7"/>
      <c r="G11" s="1">
        <v>0</v>
      </c>
      <c r="H11" s="4">
        <f t="shared" si="0"/>
        <v>0</v>
      </c>
      <c r="I11" s="5">
        <f t="shared" si="1"/>
        <v>0</v>
      </c>
      <c r="J11" s="1">
        <v>40016.5</v>
      </c>
      <c r="K11" s="4">
        <f t="shared" si="2"/>
        <v>40016.5</v>
      </c>
      <c r="L11" s="5" t="str">
        <f t="shared" si="3"/>
        <v>新增</v>
      </c>
      <c r="M11" s="1">
        <v>39996.97</v>
      </c>
      <c r="N11" s="4">
        <f t="shared" si="4"/>
        <v>-19.529999999998836</v>
      </c>
      <c r="O11" s="5">
        <f t="shared" si="5"/>
        <v>-4.8804867991950409E-4</v>
      </c>
      <c r="P11" s="1">
        <v>5125.1000000000004</v>
      </c>
      <c r="Q11" s="4">
        <f t="shared" si="6"/>
        <v>-34871.870000000003</v>
      </c>
      <c r="R11" s="5">
        <f t="shared" si="7"/>
        <v>-0.87186279360661578</v>
      </c>
      <c r="S11" s="1">
        <v>10056.549999999999</v>
      </c>
      <c r="T11" s="4">
        <f t="shared" si="8"/>
        <v>4931.4499999999989</v>
      </c>
      <c r="U11" s="5">
        <f t="shared" si="9"/>
        <v>0.96221537140738689</v>
      </c>
      <c r="V11" s="1">
        <v>21076.55</v>
      </c>
      <c r="W11" s="4">
        <f t="shared" si="10"/>
        <v>11020</v>
      </c>
      <c r="X11" s="5">
        <f t="shared" si="11"/>
        <v>1.0958032327189742</v>
      </c>
      <c r="Y11" s="1">
        <v>27549.23</v>
      </c>
      <c r="Z11" s="4">
        <f t="shared" si="12"/>
        <v>6472.68</v>
      </c>
      <c r="AA11" s="5">
        <f t="shared" si="13"/>
        <v>0.30710339215858384</v>
      </c>
      <c r="AB11" s="1">
        <v>27444.639999999999</v>
      </c>
      <c r="AC11" s="4">
        <f t="shared" si="14"/>
        <v>-104.59000000000015</v>
      </c>
      <c r="AD11" s="5">
        <f t="shared" si="15"/>
        <v>-3.7964763443479235E-3</v>
      </c>
      <c r="AE11" s="1">
        <v>4944.34</v>
      </c>
      <c r="AF11" s="4">
        <f t="shared" si="16"/>
        <v>-22500.3</v>
      </c>
      <c r="AG11" s="5">
        <f t="shared" si="17"/>
        <v>-0.81984314605693498</v>
      </c>
      <c r="AH11" s="1">
        <v>4986.13</v>
      </c>
      <c r="AI11" s="4">
        <f t="shared" si="18"/>
        <v>41.789999999999964</v>
      </c>
      <c r="AJ11" s="5">
        <f t="shared" si="19"/>
        <v>8.4520886508613821E-3</v>
      </c>
    </row>
    <row r="12" spans="2:36" ht="19.05" customHeight="1" thickTop="1" thickBot="1">
      <c r="B12" s="22"/>
      <c r="C12" s="6" t="s">
        <v>1</v>
      </c>
      <c r="D12" s="1">
        <v>0</v>
      </c>
      <c r="E12" s="7"/>
      <c r="F12" s="7"/>
      <c r="G12" s="1">
        <v>0</v>
      </c>
      <c r="H12" s="4">
        <f t="shared" si="0"/>
        <v>0</v>
      </c>
      <c r="I12" s="5">
        <f t="shared" si="1"/>
        <v>0</v>
      </c>
      <c r="J12" s="1">
        <v>0</v>
      </c>
      <c r="K12" s="4">
        <f t="shared" si="2"/>
        <v>0</v>
      </c>
      <c r="L12" s="5">
        <f t="shared" si="3"/>
        <v>0</v>
      </c>
      <c r="M12" s="1">
        <v>0</v>
      </c>
      <c r="N12" s="4">
        <f t="shared" si="4"/>
        <v>0</v>
      </c>
      <c r="O12" s="5">
        <f t="shared" si="5"/>
        <v>0</v>
      </c>
      <c r="P12" s="1">
        <v>0</v>
      </c>
      <c r="Q12" s="4">
        <f t="shared" si="6"/>
        <v>0</v>
      </c>
      <c r="R12" s="5">
        <f t="shared" si="7"/>
        <v>0</v>
      </c>
      <c r="S12" s="1">
        <v>0</v>
      </c>
      <c r="T12" s="4">
        <f t="shared" si="8"/>
        <v>0</v>
      </c>
      <c r="U12" s="5">
        <f t="shared" si="9"/>
        <v>0</v>
      </c>
      <c r="V12" s="1">
        <v>1049.74</v>
      </c>
      <c r="W12" s="4">
        <f t="shared" si="10"/>
        <v>1049.74</v>
      </c>
      <c r="X12" s="5" t="str">
        <f t="shared" si="11"/>
        <v>新增</v>
      </c>
      <c r="Y12" s="1">
        <v>2072.6999999999998</v>
      </c>
      <c r="Z12" s="4">
        <f t="shared" si="12"/>
        <v>1022.9599999999998</v>
      </c>
      <c r="AA12" s="5">
        <f t="shared" si="13"/>
        <v>0.97448892106616858</v>
      </c>
      <c r="AB12" s="1">
        <v>4109.84</v>
      </c>
      <c r="AC12" s="4">
        <f t="shared" si="14"/>
        <v>2037.1400000000003</v>
      </c>
      <c r="AD12" s="5">
        <f t="shared" si="15"/>
        <v>0.98284363390746399</v>
      </c>
      <c r="AE12" s="1">
        <v>6146.98</v>
      </c>
      <c r="AF12" s="4">
        <f t="shared" si="16"/>
        <v>2037.1399999999994</v>
      </c>
      <c r="AG12" s="5">
        <f t="shared" si="17"/>
        <v>0.49567379752009794</v>
      </c>
      <c r="AH12" s="1">
        <v>6228.73</v>
      </c>
      <c r="AI12" s="4">
        <f t="shared" si="18"/>
        <v>81.75</v>
      </c>
      <c r="AJ12" s="5">
        <f t="shared" si="19"/>
        <v>1.3299213597571491E-2</v>
      </c>
    </row>
    <row r="13" spans="2:36" ht="19.05" customHeight="1" thickTop="1" thickBot="1">
      <c r="B13" s="15"/>
      <c r="C13" s="6" t="s">
        <v>5</v>
      </c>
      <c r="D13" s="1">
        <v>0</v>
      </c>
      <c r="E13" s="7"/>
      <c r="F13" s="7"/>
      <c r="G13" s="1">
        <v>0</v>
      </c>
      <c r="H13" s="4">
        <f t="shared" si="0"/>
        <v>0</v>
      </c>
      <c r="I13" s="5">
        <f t="shared" si="1"/>
        <v>0</v>
      </c>
      <c r="J13" s="1">
        <v>10138.209999999999</v>
      </c>
      <c r="K13" s="4">
        <f t="shared" si="2"/>
        <v>10138.209999999999</v>
      </c>
      <c r="L13" s="5" t="str">
        <f t="shared" si="3"/>
        <v>新增</v>
      </c>
      <c r="M13" s="1">
        <v>10189.57</v>
      </c>
      <c r="N13" s="4">
        <f t="shared" si="4"/>
        <v>51.360000000000582</v>
      </c>
      <c r="O13" s="5">
        <f t="shared" si="5"/>
        <v>5.0659830482896471E-3</v>
      </c>
      <c r="P13" s="1">
        <v>10868.04</v>
      </c>
      <c r="Q13" s="4">
        <f t="shared" si="6"/>
        <v>678.47000000000116</v>
      </c>
      <c r="R13" s="5">
        <f t="shared" si="7"/>
        <v>6.6584752840404562E-2</v>
      </c>
      <c r="S13" s="1">
        <v>11102.58</v>
      </c>
      <c r="T13" s="4">
        <f t="shared" si="8"/>
        <v>234.53999999999905</v>
      </c>
      <c r="U13" s="5">
        <f t="shared" si="9"/>
        <v>2.1580708204975232E-2</v>
      </c>
      <c r="V13" s="1">
        <v>11009.17</v>
      </c>
      <c r="W13" s="4">
        <f t="shared" si="10"/>
        <v>-93.409999999999854</v>
      </c>
      <c r="X13" s="5">
        <f t="shared" si="11"/>
        <v>-8.4133597776372571E-3</v>
      </c>
      <c r="Y13" s="1">
        <v>9853.2199999999993</v>
      </c>
      <c r="Z13" s="4">
        <f t="shared" si="12"/>
        <v>-1155.9500000000007</v>
      </c>
      <c r="AA13" s="5">
        <f t="shared" si="13"/>
        <v>-0.10499883279120957</v>
      </c>
      <c r="AB13" s="1">
        <v>9714.61</v>
      </c>
      <c r="AC13" s="4">
        <f t="shared" si="14"/>
        <v>-138.60999999999876</v>
      </c>
      <c r="AD13" s="5">
        <f t="shared" si="15"/>
        <v>-1.406748250825606E-2</v>
      </c>
      <c r="AE13" s="1">
        <v>9802.77</v>
      </c>
      <c r="AF13" s="4">
        <f t="shared" si="16"/>
        <v>88.159999999999854</v>
      </c>
      <c r="AG13" s="5">
        <f t="shared" si="17"/>
        <v>9.0749911730887648E-3</v>
      </c>
      <c r="AH13" s="1">
        <v>9861.7099999999991</v>
      </c>
      <c r="AI13" s="4">
        <f t="shared" si="18"/>
        <v>58.93999999999869</v>
      </c>
      <c r="AJ13" s="5">
        <f t="shared" si="19"/>
        <v>6.0125862383794259E-3</v>
      </c>
    </row>
    <row r="14" spans="2:36" ht="16.8" thickTop="1" thickBot="1">
      <c r="B14" s="16"/>
      <c r="C14" s="6" t="s">
        <v>13</v>
      </c>
      <c r="D14" s="1">
        <v>10000</v>
      </c>
      <c r="E14" s="7"/>
      <c r="F14" s="7"/>
      <c r="G14" s="1">
        <v>10000</v>
      </c>
      <c r="H14" s="4">
        <f t="shared" si="0"/>
        <v>0</v>
      </c>
      <c r="I14" s="5">
        <f t="shared" si="1"/>
        <v>0</v>
      </c>
      <c r="J14" s="1">
        <v>10000</v>
      </c>
      <c r="K14" s="4">
        <f t="shared" si="2"/>
        <v>0</v>
      </c>
      <c r="L14" s="5">
        <f t="shared" si="3"/>
        <v>0</v>
      </c>
      <c r="M14" s="1">
        <v>10000</v>
      </c>
      <c r="N14" s="4">
        <f t="shared" si="4"/>
        <v>0</v>
      </c>
      <c r="O14" s="5">
        <f t="shared" si="5"/>
        <v>0</v>
      </c>
      <c r="P14" s="1">
        <v>10000</v>
      </c>
      <c r="Q14" s="4">
        <f t="shared" si="6"/>
        <v>0</v>
      </c>
      <c r="R14" s="5">
        <f t="shared" si="7"/>
        <v>0</v>
      </c>
      <c r="S14" s="1">
        <v>19993.939999999999</v>
      </c>
      <c r="T14" s="4">
        <f t="shared" si="8"/>
        <v>9993.9399999999987</v>
      </c>
      <c r="U14" s="5">
        <f t="shared" si="9"/>
        <v>0.99939399999999989</v>
      </c>
      <c r="V14" s="1">
        <v>19911.939999999999</v>
      </c>
      <c r="W14" s="4">
        <f t="shared" si="10"/>
        <v>-82</v>
      </c>
      <c r="X14" s="5">
        <f t="shared" si="11"/>
        <v>-4.101242676530989E-3</v>
      </c>
      <c r="Y14" s="1">
        <v>19584.41</v>
      </c>
      <c r="Z14" s="4">
        <f t="shared" si="12"/>
        <v>-327.52999999999884</v>
      </c>
      <c r="AA14" s="5">
        <f t="shared" si="13"/>
        <v>-1.644892461508014E-2</v>
      </c>
      <c r="AB14" s="1">
        <v>19949.21</v>
      </c>
      <c r="AC14" s="4">
        <f t="shared" si="14"/>
        <v>364.79999999999927</v>
      </c>
      <c r="AD14" s="5">
        <f t="shared" si="15"/>
        <v>1.86270610143476E-2</v>
      </c>
      <c r="AE14" s="1">
        <v>21117.65</v>
      </c>
      <c r="AF14" s="4">
        <f t="shared" si="16"/>
        <v>1168.4400000000023</v>
      </c>
      <c r="AG14" s="5">
        <f t="shared" si="17"/>
        <v>5.8570740395233814E-2</v>
      </c>
      <c r="AH14" s="1">
        <v>21994.560000000001</v>
      </c>
      <c r="AI14" s="4">
        <f t="shared" si="18"/>
        <v>876.90999999999985</v>
      </c>
      <c r="AJ14" s="5">
        <f t="shared" si="19"/>
        <v>4.1524980288999952E-2</v>
      </c>
    </row>
    <row r="15" spans="2:36" ht="16.8" thickTop="1" thickBot="1">
      <c r="B15" s="13" t="s">
        <v>14</v>
      </c>
      <c r="C15" s="6" t="s">
        <v>15</v>
      </c>
      <c r="D15" s="1">
        <v>31.39</v>
      </c>
      <c r="E15" s="7"/>
      <c r="F15" s="7"/>
      <c r="G15" s="1">
        <v>28.38</v>
      </c>
      <c r="H15" s="4">
        <f t="shared" si="0"/>
        <v>-3.0100000000000016</v>
      </c>
      <c r="I15" s="5">
        <f t="shared" si="1"/>
        <v>-9.589041095890416E-2</v>
      </c>
      <c r="J15" s="1">
        <v>43.89</v>
      </c>
      <c r="K15" s="4">
        <f t="shared" si="2"/>
        <v>15.510000000000002</v>
      </c>
      <c r="L15" s="5">
        <f t="shared" si="3"/>
        <v>0.54651162790697683</v>
      </c>
      <c r="M15" s="1">
        <v>43.95</v>
      </c>
      <c r="N15" s="4">
        <f t="shared" si="4"/>
        <v>6.0000000000002274E-2</v>
      </c>
      <c r="O15" s="5">
        <f t="shared" si="5"/>
        <v>1.3670539986329977E-3</v>
      </c>
      <c r="P15" s="1">
        <v>5485.37</v>
      </c>
      <c r="Q15" s="4">
        <f t="shared" si="6"/>
        <v>5441.42</v>
      </c>
      <c r="R15" s="5">
        <f t="shared" si="7"/>
        <v>99.999899999999997</v>
      </c>
      <c r="S15" s="1">
        <f>601.62-534.51</f>
        <v>67.110000000000014</v>
      </c>
      <c r="T15" s="4">
        <f t="shared" si="8"/>
        <v>-5418.26</v>
      </c>
      <c r="U15" s="5">
        <f t="shared" si="9"/>
        <v>-0.98776563841636944</v>
      </c>
      <c r="V15" s="1">
        <v>76.89</v>
      </c>
      <c r="W15" s="4">
        <f t="shared" si="10"/>
        <v>9.7799999999999869</v>
      </c>
      <c r="X15" s="5">
        <f t="shared" si="11"/>
        <v>0.14573088958426442</v>
      </c>
      <c r="Y15" s="1">
        <v>77.92</v>
      </c>
      <c r="Z15" s="4">
        <f t="shared" si="12"/>
        <v>1.0300000000000011</v>
      </c>
      <c r="AA15" s="5">
        <f t="shared" si="13"/>
        <v>1.3395760176876071E-2</v>
      </c>
      <c r="AB15" s="1">
        <v>64.510000000000005</v>
      </c>
      <c r="AC15" s="4">
        <f t="shared" si="14"/>
        <v>-13.409999999999997</v>
      </c>
      <c r="AD15" s="5">
        <f t="shared" si="15"/>
        <v>-0.1720995893223819</v>
      </c>
      <c r="AE15" s="1">
        <v>57.85</v>
      </c>
      <c r="AF15" s="4">
        <f t="shared" si="16"/>
        <v>-6.6600000000000037</v>
      </c>
      <c r="AG15" s="5">
        <f t="shared" si="17"/>
        <v>-0.10323980778173932</v>
      </c>
      <c r="AH15" s="1">
        <v>460</v>
      </c>
      <c r="AI15" s="4">
        <f t="shared" si="18"/>
        <v>402.15</v>
      </c>
      <c r="AJ15" s="5">
        <f t="shared" si="19"/>
        <v>6.9515989628349173</v>
      </c>
    </row>
    <row r="16" spans="2:36" ht="16.8" thickTop="1" thickBot="1">
      <c r="B16" s="12"/>
      <c r="C16" s="6" t="s">
        <v>16</v>
      </c>
      <c r="D16" s="1">
        <v>7.75</v>
      </c>
      <c r="E16" s="7"/>
      <c r="F16" s="7"/>
      <c r="G16" s="1">
        <v>86.29</v>
      </c>
      <c r="H16" s="4">
        <f t="shared" si="0"/>
        <v>78.540000000000006</v>
      </c>
      <c r="I16" s="5">
        <f t="shared" si="1"/>
        <v>10.134193548387097</v>
      </c>
      <c r="J16" s="1">
        <v>18.48</v>
      </c>
      <c r="K16" s="4">
        <f t="shared" si="2"/>
        <v>-67.81</v>
      </c>
      <c r="L16" s="5">
        <f t="shared" si="3"/>
        <v>-0.78583845173252986</v>
      </c>
      <c r="M16" s="1">
        <v>2.58</v>
      </c>
      <c r="N16" s="4">
        <f t="shared" si="4"/>
        <v>-15.9</v>
      </c>
      <c r="O16" s="5">
        <f t="shared" si="5"/>
        <v>-0.86038961038961037</v>
      </c>
      <c r="P16" s="1">
        <v>0.08</v>
      </c>
      <c r="Q16" s="4">
        <f t="shared" si="6"/>
        <v>-2.5</v>
      </c>
      <c r="R16" s="5">
        <f t="shared" si="7"/>
        <v>-0.96899224806201545</v>
      </c>
      <c r="S16" s="1">
        <v>1.02</v>
      </c>
      <c r="T16" s="4">
        <f t="shared" si="8"/>
        <v>0.94000000000000006</v>
      </c>
      <c r="U16" s="5">
        <f t="shared" si="9"/>
        <v>11.75</v>
      </c>
      <c r="V16" s="1">
        <v>167</v>
      </c>
      <c r="W16" s="4">
        <f>V16-V15</f>
        <v>90.11</v>
      </c>
      <c r="X16" s="5">
        <f t="shared" si="11"/>
        <v>88.343137254901961</v>
      </c>
      <c r="Y16" s="1">
        <v>0</v>
      </c>
      <c r="Z16" s="4">
        <f t="shared" si="12"/>
        <v>-167</v>
      </c>
      <c r="AA16" s="5">
        <f t="shared" si="13"/>
        <v>-1</v>
      </c>
      <c r="AB16" s="1">
        <v>0.24</v>
      </c>
      <c r="AC16" s="4">
        <f t="shared" si="14"/>
        <v>0.24</v>
      </c>
      <c r="AD16" s="5" t="str">
        <f t="shared" si="15"/>
        <v>新增</v>
      </c>
      <c r="AE16" s="1">
        <v>10.44</v>
      </c>
      <c r="AF16" s="4">
        <f t="shared" si="16"/>
        <v>10.199999999999999</v>
      </c>
      <c r="AG16" s="5">
        <f t="shared" si="17"/>
        <v>42.5</v>
      </c>
      <c r="AH16" s="1">
        <v>2.59</v>
      </c>
      <c r="AI16" s="4">
        <f t="shared" si="18"/>
        <v>-7.85</v>
      </c>
      <c r="AJ16" s="5">
        <f t="shared" si="19"/>
        <v>-0.75191570881226055</v>
      </c>
    </row>
    <row r="17" spans="2:36" ht="16.8" thickTop="1" thickBot="1">
      <c r="B17" s="12"/>
      <c r="C17" s="6" t="s">
        <v>17</v>
      </c>
      <c r="D17" s="1">
        <v>-200.23</v>
      </c>
      <c r="E17" s="7"/>
      <c r="F17" s="7"/>
      <c r="G17" s="1">
        <v>-555.17999999999995</v>
      </c>
      <c r="H17" s="4">
        <f t="shared" si="0"/>
        <v>-354.94999999999993</v>
      </c>
      <c r="I17" s="5">
        <f t="shared" si="1"/>
        <v>-1.7727113819108022</v>
      </c>
      <c r="J17" s="1">
        <v>-377.22</v>
      </c>
      <c r="K17" s="4">
        <f t="shared" si="2"/>
        <v>177.95999999999992</v>
      </c>
      <c r="L17" s="5">
        <f t="shared" si="3"/>
        <v>0.32054468820922932</v>
      </c>
      <c r="M17" s="1">
        <v>-417.22</v>
      </c>
      <c r="N17" s="4">
        <f t="shared" si="4"/>
        <v>-40</v>
      </c>
      <c r="O17" s="5">
        <f t="shared" si="5"/>
        <v>-0.10603891628227559</v>
      </c>
      <c r="P17" s="1">
        <v>-192.9</v>
      </c>
      <c r="Q17" s="4">
        <f t="shared" si="6"/>
        <v>224.32000000000002</v>
      </c>
      <c r="R17" s="5">
        <f t="shared" si="7"/>
        <v>0.53765399549398396</v>
      </c>
      <c r="S17" s="1">
        <v>-690.7</v>
      </c>
      <c r="T17" s="4">
        <f t="shared" si="8"/>
        <v>-497.80000000000007</v>
      </c>
      <c r="U17" s="5">
        <f t="shared" si="9"/>
        <v>-2.5806117159149822</v>
      </c>
      <c r="V17" s="1">
        <v>-275.60000000000002</v>
      </c>
      <c r="W17" s="4">
        <f t="shared" ref="W17:W22" si="20">V17-S17</f>
        <v>415.1</v>
      </c>
      <c r="X17" s="5">
        <f t="shared" si="11"/>
        <v>0.60098450846966844</v>
      </c>
      <c r="Y17" s="1">
        <v>-210.52</v>
      </c>
      <c r="Z17" s="4">
        <f t="shared" si="12"/>
        <v>65.080000000000013</v>
      </c>
      <c r="AA17" s="5">
        <f t="shared" si="13"/>
        <v>0.2361393323657475</v>
      </c>
      <c r="AB17" s="1">
        <v>-426.54</v>
      </c>
      <c r="AC17" s="4">
        <f t="shared" si="14"/>
        <v>-216.02</v>
      </c>
      <c r="AD17" s="5">
        <f t="shared" si="15"/>
        <v>-1.0261257837735132</v>
      </c>
      <c r="AE17" s="1">
        <v>-272.38</v>
      </c>
      <c r="AF17" s="4">
        <f t="shared" si="16"/>
        <v>154.16000000000003</v>
      </c>
      <c r="AG17" s="5">
        <f t="shared" si="17"/>
        <v>0.36141979650208661</v>
      </c>
      <c r="AH17" s="1">
        <v>-82.57</v>
      </c>
      <c r="AI17" s="4">
        <f t="shared" si="18"/>
        <v>189.81</v>
      </c>
      <c r="AJ17" s="5">
        <f t="shared" si="19"/>
        <v>0.69685733166899189</v>
      </c>
    </row>
    <row r="18" spans="2:36" ht="16.8" thickTop="1" thickBot="1">
      <c r="B18" s="12"/>
      <c r="C18" s="6" t="s">
        <v>18</v>
      </c>
      <c r="D18" s="1">
        <v>0</v>
      </c>
      <c r="E18" s="7"/>
      <c r="F18" s="7"/>
      <c r="G18" s="1">
        <v>0</v>
      </c>
      <c r="H18" s="4">
        <f t="shared" si="0"/>
        <v>0</v>
      </c>
      <c r="I18" s="5">
        <f t="shared" si="1"/>
        <v>0</v>
      </c>
      <c r="J18" s="1">
        <v>-92</v>
      </c>
      <c r="K18" s="4">
        <f t="shared" si="2"/>
        <v>-92</v>
      </c>
      <c r="L18" s="5" t="str">
        <f t="shared" si="3"/>
        <v>新增</v>
      </c>
      <c r="M18" s="1">
        <v>-92</v>
      </c>
      <c r="N18" s="4">
        <f t="shared" si="4"/>
        <v>0</v>
      </c>
      <c r="O18" s="5">
        <f t="shared" si="5"/>
        <v>0</v>
      </c>
      <c r="P18" s="1">
        <v>0</v>
      </c>
      <c r="Q18" s="4">
        <f t="shared" si="6"/>
        <v>92</v>
      </c>
      <c r="R18" s="5">
        <f t="shared" si="7"/>
        <v>1</v>
      </c>
      <c r="S18" s="1">
        <v>-98</v>
      </c>
      <c r="T18" s="4">
        <f t="shared" si="8"/>
        <v>-98</v>
      </c>
      <c r="U18" s="5" t="str">
        <f t="shared" si="9"/>
        <v>新增</v>
      </c>
      <c r="V18" s="1">
        <v>-95</v>
      </c>
      <c r="W18" s="4">
        <f t="shared" si="20"/>
        <v>3</v>
      </c>
      <c r="X18" s="5">
        <f t="shared" si="11"/>
        <v>3.0612244897959183E-2</v>
      </c>
      <c r="Y18" s="1">
        <v>0</v>
      </c>
      <c r="Z18" s="4">
        <f t="shared" si="12"/>
        <v>95</v>
      </c>
      <c r="AA18" s="5">
        <f t="shared" si="13"/>
        <v>1</v>
      </c>
      <c r="AB18" s="1">
        <v>0</v>
      </c>
      <c r="AC18" s="4">
        <f t="shared" si="14"/>
        <v>0</v>
      </c>
      <c r="AD18" s="5">
        <f t="shared" si="15"/>
        <v>0</v>
      </c>
      <c r="AE18" s="1">
        <v>0</v>
      </c>
      <c r="AF18" s="4">
        <f t="shared" si="16"/>
        <v>0</v>
      </c>
      <c r="AG18" s="5">
        <f t="shared" si="17"/>
        <v>0</v>
      </c>
      <c r="AH18" s="1">
        <v>0</v>
      </c>
      <c r="AI18" s="4">
        <f t="shared" si="18"/>
        <v>0</v>
      </c>
      <c r="AJ18" s="5">
        <f t="shared" si="19"/>
        <v>0</v>
      </c>
    </row>
    <row r="19" spans="2:36" ht="16.8" thickTop="1" thickBot="1">
      <c r="B19" s="12"/>
      <c r="C19" s="6" t="s">
        <v>19</v>
      </c>
      <c r="D19" s="1">
        <v>0</v>
      </c>
      <c r="E19" s="7"/>
      <c r="F19" s="7"/>
      <c r="G19" s="1">
        <v>0</v>
      </c>
      <c r="H19" s="4">
        <f t="shared" si="0"/>
        <v>0</v>
      </c>
      <c r="I19" s="5">
        <f t="shared" si="1"/>
        <v>0</v>
      </c>
      <c r="J19" s="1">
        <v>0</v>
      </c>
      <c r="K19" s="4">
        <f t="shared" si="2"/>
        <v>0</v>
      </c>
      <c r="L19" s="5">
        <f t="shared" si="3"/>
        <v>0</v>
      </c>
      <c r="M19" s="1">
        <v>-8.66</v>
      </c>
      <c r="N19" s="4">
        <f t="shared" si="4"/>
        <v>-8.66</v>
      </c>
      <c r="O19" s="5" t="str">
        <f t="shared" si="5"/>
        <v>新增</v>
      </c>
      <c r="P19" s="1">
        <v>-13.94</v>
      </c>
      <c r="Q19" s="4">
        <f t="shared" si="6"/>
        <v>-5.2799999999999994</v>
      </c>
      <c r="R19" s="5">
        <f t="shared" si="7"/>
        <v>-0.60969976905311773</v>
      </c>
      <c r="S19" s="1">
        <v>-1162.5999999999999</v>
      </c>
      <c r="T19" s="4">
        <f t="shared" si="8"/>
        <v>-1148.6599999999999</v>
      </c>
      <c r="U19" s="5">
        <f t="shared" si="9"/>
        <v>-82.400286944045902</v>
      </c>
      <c r="V19" s="1">
        <v>-675.42</v>
      </c>
      <c r="W19" s="4">
        <f t="shared" si="20"/>
        <v>487.17999999999995</v>
      </c>
      <c r="X19" s="5">
        <f t="shared" si="11"/>
        <v>0.41904352313779458</v>
      </c>
      <c r="Y19" s="1">
        <v>-144.34</v>
      </c>
      <c r="Z19" s="4">
        <f t="shared" si="12"/>
        <v>531.07999999999993</v>
      </c>
      <c r="AA19" s="5">
        <f t="shared" si="13"/>
        <v>0.78629593438156997</v>
      </c>
      <c r="AB19" s="1">
        <v>-1792.21</v>
      </c>
      <c r="AC19" s="4">
        <f t="shared" si="14"/>
        <v>-1647.8700000000001</v>
      </c>
      <c r="AD19" s="5">
        <f t="shared" si="15"/>
        <v>-11.416585838991271</v>
      </c>
      <c r="AE19" s="1">
        <v>-495.47</v>
      </c>
      <c r="AF19" s="4">
        <f t="shared" si="16"/>
        <v>1296.74</v>
      </c>
      <c r="AG19" s="5">
        <f t="shared" si="17"/>
        <v>0.72354244201293372</v>
      </c>
      <c r="AH19" s="1">
        <v>-252.05</v>
      </c>
      <c r="AI19" s="4">
        <f t="shared" si="18"/>
        <v>243.42000000000002</v>
      </c>
      <c r="AJ19" s="5">
        <f t="shared" si="19"/>
        <v>0.49129109734191778</v>
      </c>
    </row>
    <row r="20" spans="2:36" ht="19.05" customHeight="1" thickTop="1" thickBot="1">
      <c r="B20" s="14" t="s">
        <v>20</v>
      </c>
      <c r="C20" s="8" t="s">
        <v>21</v>
      </c>
      <c r="D20" s="9">
        <v>0</v>
      </c>
      <c r="E20" s="10"/>
      <c r="F20" s="10"/>
      <c r="G20" s="9">
        <v>0</v>
      </c>
      <c r="H20" s="4">
        <f t="shared" si="0"/>
        <v>0</v>
      </c>
      <c r="I20" s="5">
        <f t="shared" si="1"/>
        <v>0</v>
      </c>
      <c r="J20" s="9">
        <v>0</v>
      </c>
      <c r="K20" s="4">
        <f t="shared" si="2"/>
        <v>0</v>
      </c>
      <c r="L20" s="5">
        <f t="shared" si="3"/>
        <v>0</v>
      </c>
      <c r="M20" s="9">
        <v>0</v>
      </c>
      <c r="N20" s="4">
        <f t="shared" si="4"/>
        <v>0</v>
      </c>
      <c r="O20" s="5">
        <f t="shared" si="5"/>
        <v>0</v>
      </c>
      <c r="P20" s="9">
        <v>0</v>
      </c>
      <c r="Q20" s="4">
        <f t="shared" si="6"/>
        <v>0</v>
      </c>
      <c r="R20" s="5">
        <f t="shared" si="7"/>
        <v>0</v>
      </c>
      <c r="S20" s="9">
        <f>3456+1891.78</f>
        <v>5347.78</v>
      </c>
      <c r="T20" s="4">
        <f t="shared" si="8"/>
        <v>5347.78</v>
      </c>
      <c r="U20" s="5" t="str">
        <f t="shared" si="9"/>
        <v>新增</v>
      </c>
      <c r="V20" s="9">
        <v>6912</v>
      </c>
      <c r="W20" s="4">
        <f t="shared" si="20"/>
        <v>1564.2200000000003</v>
      </c>
      <c r="X20" s="5">
        <f t="shared" si="11"/>
        <v>0.29249894348683009</v>
      </c>
      <c r="Y20" s="9">
        <v>2</v>
      </c>
      <c r="Z20" s="4">
        <f t="shared" si="12"/>
        <v>-6910</v>
      </c>
      <c r="AA20" s="5">
        <f t="shared" si="13"/>
        <v>-0.99971064814814814</v>
      </c>
      <c r="AB20" s="9">
        <v>3458</v>
      </c>
      <c r="AC20" s="4">
        <f t="shared" si="14"/>
        <v>3456</v>
      </c>
      <c r="AD20" s="5">
        <f>IF(Y20&lt;&gt;0,MIN(AC20/ABS(Y20),9.9999),IF(AC20=0,0,"新增"))</f>
        <v>9.9999000000000002</v>
      </c>
      <c r="AE20" s="1">
        <v>6913</v>
      </c>
      <c r="AF20" s="4">
        <f t="shared" si="16"/>
        <v>3455</v>
      </c>
      <c r="AG20" s="5">
        <f t="shared" si="17"/>
        <v>0.99913244650086752</v>
      </c>
      <c r="AH20" s="1">
        <v>1</v>
      </c>
      <c r="AI20" s="4">
        <f t="shared" si="18"/>
        <v>-6912</v>
      </c>
      <c r="AJ20" s="5">
        <f t="shared" si="19"/>
        <v>-0.99985534500216977</v>
      </c>
    </row>
    <row r="21" spans="2:36" ht="19.05" customHeight="1" thickTop="1" thickBot="1">
      <c r="B21" s="16"/>
      <c r="C21" s="8" t="s">
        <v>22</v>
      </c>
      <c r="D21" s="9">
        <v>0</v>
      </c>
      <c r="E21" s="10"/>
      <c r="F21" s="10"/>
      <c r="G21" s="9">
        <v>0</v>
      </c>
      <c r="H21" s="4">
        <f t="shared" si="0"/>
        <v>0</v>
      </c>
      <c r="I21" s="5">
        <f t="shared" si="1"/>
        <v>0</v>
      </c>
      <c r="J21" s="9">
        <v>0</v>
      </c>
      <c r="K21" s="4">
        <f t="shared" si="2"/>
        <v>0</v>
      </c>
      <c r="L21" s="5">
        <f t="shared" si="3"/>
        <v>0</v>
      </c>
      <c r="M21" s="9">
        <v>0</v>
      </c>
      <c r="N21" s="4">
        <f t="shared" si="4"/>
        <v>0</v>
      </c>
      <c r="O21" s="5">
        <f t="shared" si="5"/>
        <v>0</v>
      </c>
      <c r="P21" s="9">
        <v>0</v>
      </c>
      <c r="Q21" s="4">
        <f t="shared" si="6"/>
        <v>0</v>
      </c>
      <c r="R21" s="5">
        <f t="shared" si="7"/>
        <v>0</v>
      </c>
      <c r="S21" s="9">
        <v>-407790.62</v>
      </c>
      <c r="T21" s="4">
        <f t="shared" si="8"/>
        <v>-407790.62</v>
      </c>
      <c r="U21" s="5" t="str">
        <f t="shared" si="9"/>
        <v>新增</v>
      </c>
      <c r="V21" s="9">
        <v>-406175.12</v>
      </c>
      <c r="W21" s="4">
        <f t="shared" si="20"/>
        <v>1615.5</v>
      </c>
      <c r="X21" s="5">
        <f t="shared" si="11"/>
        <v>3.9615918580961969E-3</v>
      </c>
      <c r="Y21" s="9">
        <v>-394555.78</v>
      </c>
      <c r="Z21" s="4">
        <f t="shared" si="12"/>
        <v>11619.339999999967</v>
      </c>
      <c r="AA21" s="5">
        <f t="shared" si="13"/>
        <v>2.8606725099262525E-2</v>
      </c>
      <c r="AB21" s="9">
        <v>-392972.72</v>
      </c>
      <c r="AC21" s="4">
        <f t="shared" si="14"/>
        <v>1583.0600000000559</v>
      </c>
      <c r="AD21" s="5">
        <f t="shared" si="15"/>
        <v>4.0122590524464142E-3</v>
      </c>
      <c r="AE21" s="1">
        <v>-391363.88</v>
      </c>
      <c r="AF21" s="4">
        <f t="shared" si="16"/>
        <v>1608.8399999999674</v>
      </c>
      <c r="AG21" s="5">
        <f t="shared" si="17"/>
        <v>4.0940246437461804E-3</v>
      </c>
      <c r="AH21" s="1">
        <v>-389738.62</v>
      </c>
      <c r="AI21" s="4">
        <f t="shared" si="18"/>
        <v>1625.2600000000093</v>
      </c>
      <c r="AJ21" s="5">
        <f t="shared" si="19"/>
        <v>4.1528104228729778E-3</v>
      </c>
    </row>
    <row r="22" spans="2:36" ht="19.05" customHeight="1" thickTop="1" thickBot="1">
      <c r="B22" s="11" t="s">
        <v>23</v>
      </c>
      <c r="C22" s="8"/>
      <c r="D22" s="9">
        <f>SUM(D4:D21)</f>
        <v>249634.42</v>
      </c>
      <c r="E22" s="10"/>
      <c r="F22" s="10"/>
      <c r="G22" s="9">
        <f>SUM(G4:G21)</f>
        <v>261459.36000000004</v>
      </c>
      <c r="H22" s="4">
        <f t="shared" si="0"/>
        <v>11824.940000000031</v>
      </c>
      <c r="I22" s="5">
        <f t="shared" si="1"/>
        <v>4.736902867801656E-2</v>
      </c>
      <c r="J22" s="9">
        <f>SUM(J4:J21)</f>
        <v>302419.76000000007</v>
      </c>
      <c r="K22" s="4">
        <f t="shared" si="2"/>
        <v>40960.400000000023</v>
      </c>
      <c r="L22" s="5">
        <f t="shared" si="3"/>
        <v>0.15666067567823933</v>
      </c>
      <c r="M22" s="9">
        <f>SUM(M4:M21)</f>
        <v>302159.71000000008</v>
      </c>
      <c r="N22" s="4">
        <f t="shared" si="4"/>
        <v>-260.04999999998836</v>
      </c>
      <c r="O22" s="5">
        <f t="shared" si="5"/>
        <v>-8.5989751463326437E-4</v>
      </c>
      <c r="P22" s="9">
        <f>SUM(P4:P21)</f>
        <v>298187.4599999999</v>
      </c>
      <c r="Q22" s="4">
        <f t="shared" si="6"/>
        <v>-3972.2500000001746</v>
      </c>
      <c r="R22" s="5">
        <f t="shared" si="7"/>
        <v>-1.3146193448491772E-2</v>
      </c>
      <c r="S22" s="2">
        <f>SUM(S4:S21)</f>
        <v>-83604.869999999937</v>
      </c>
      <c r="T22" s="4">
        <f t="shared" si="8"/>
        <v>-381792.32999999984</v>
      </c>
      <c r="U22" s="5">
        <f t="shared" si="9"/>
        <v>-1.2803768810398666</v>
      </c>
      <c r="V22" s="2">
        <f>SUM(V4:V21)</f>
        <v>-70809.260000000009</v>
      </c>
      <c r="W22" s="4">
        <f t="shared" si="20"/>
        <v>12795.609999999928</v>
      </c>
      <c r="X22" s="5">
        <f t="shared" si="11"/>
        <v>0.15304862025381941</v>
      </c>
      <c r="Y22" s="2">
        <f>SUM(Y4:Y21)</f>
        <v>-55411.660000000091</v>
      </c>
      <c r="Z22" s="4">
        <f t="shared" si="12"/>
        <v>15397.599999999919</v>
      </c>
      <c r="AA22" s="5">
        <f t="shared" si="13"/>
        <v>0.21745178526085313</v>
      </c>
      <c r="AB22" s="2">
        <f>SUM(AB4:AB21)</f>
        <v>-57529.859999999928</v>
      </c>
      <c r="AC22" s="4">
        <f t="shared" si="14"/>
        <v>-2118.199999999837</v>
      </c>
      <c r="AD22" s="5">
        <f t="shared" si="15"/>
        <v>-3.8226611511003886E-2</v>
      </c>
      <c r="AE22" s="2">
        <f>SUM(AE4:AE21)</f>
        <v>-59522.169999999984</v>
      </c>
      <c r="AF22" s="4">
        <f t="shared" si="16"/>
        <v>-1992.3100000000559</v>
      </c>
      <c r="AG22" s="5">
        <f t="shared" si="17"/>
        <v>-3.4630885595759463E-2</v>
      </c>
      <c r="AH22" s="2">
        <f>SUM(AH4:AH21)</f>
        <v>-55738.759999999951</v>
      </c>
      <c r="AI22" s="4">
        <f t="shared" si="18"/>
        <v>3783.4100000000326</v>
      </c>
      <c r="AJ22" s="5">
        <f t="shared" si="19"/>
        <v>6.3563038780340725E-2</v>
      </c>
    </row>
    <row r="23" spans="2:36" ht="15.6" thickTop="1"/>
    <row r="24" spans="2:36" ht="15"/>
    <row r="25" spans="2:36" ht="15"/>
    <row r="26" spans="2:36" ht="15"/>
    <row r="27" spans="2:36" ht="15"/>
    <row r="28" spans="2:36" ht="15"/>
    <row r="29" spans="2:36" ht="15"/>
    <row r="30" spans="2:36" ht="15"/>
    <row r="31" spans="2:36" ht="15"/>
    <row r="32" spans="2:36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</sheetData>
  <sheetProtection formatCells="0" formatColumns="0" formatRows="0" insertColumns="0" insertRows="0" insertHyperlinks="0" deleteColumns="0" deleteRows="0" sort="0" autoFilter="0" pivotTables="0"/>
  <mergeCells count="16">
    <mergeCell ref="B20:B21"/>
    <mergeCell ref="B2:C3"/>
    <mergeCell ref="AH2:AJ2"/>
    <mergeCell ref="B4:B8"/>
    <mergeCell ref="B9:B14"/>
    <mergeCell ref="B15:B19"/>
    <mergeCell ref="S2:U2"/>
    <mergeCell ref="V2:X2"/>
    <mergeCell ref="Y2:AA2"/>
    <mergeCell ref="AB2:AD2"/>
    <mergeCell ref="AE2:AG2"/>
    <mergeCell ref="D2:F2"/>
    <mergeCell ref="G2:I2"/>
    <mergeCell ref="J2:L2"/>
    <mergeCell ref="M2:O2"/>
    <mergeCell ref="P2:R2"/>
  </mergeCells>
  <phoneticPr fontId="5" type="noConversion"/>
  <conditionalFormatting sqref="H3:I22 K3:L22 N3:O22 Q3:R22 T3:U22 W3:X22 Z3:AA22 AC3:AD22 AF3:AG22 AI3:AJ22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I3:I22 L3:L22 O3:O22 R3:R22 U3:U22 X3:X22 AA3:AA22 AD3:AD22 AG3:AG22 AJ3:AJ22">
    <cfRule type="cellIs" dxfId="0" priority="1" operator="equal">
      <formula>"新增"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474717435971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Cao (曹香华)</cp:lastModifiedBy>
  <dcterms:created xsi:type="dcterms:W3CDTF">2025-12-13T05:44:00Z</dcterms:created>
  <dcterms:modified xsi:type="dcterms:W3CDTF">2026-03-09T02:18:58Z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2052-12.9.0.25379</vt:lpwstr>
  </property>
  <property fmtid="{D5CDD505-2E9C-101B-9397-08002B2CF9AE}" pid="3" name="CalculationRule">
    <vt:i4>0</vt:i4>
  </property>
</Properties>
</file>